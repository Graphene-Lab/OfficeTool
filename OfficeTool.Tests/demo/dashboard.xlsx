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196dd1845b474a" /><Relationship Type="http://schemas.openxmlformats.org/package/2006/relationships/metadata/core-properties" Target="/docProps/core.xml" Id="R51b8d0faedfb4589" /><Relationship Type="http://schemas.openxmlformats.org/officeDocument/2006/relationships/extended-properties" Target="/docProps/app.xml" Id="Rc018607fcfea442c" /><Relationship Type="http://schemas.openxmlformats.org/officeDocument/2006/relationships/custom-properties" Target="/docProps/custom.xml" Id="R74dd2d4271bb4e25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activeTab="1"/>
  </x:bookViews>
  <x:sheets>
    <x:sheet xmlns:r="http://schemas.openxmlformats.org/officeDocument/2006/relationships" name="Data" sheetId="1" r:id="rId1"/>
    <x:sheet name="Dashboard" sheetId="2" r:id="R5cfbe0effbaf4ff6"/>
    <x:sheet name="Summary" sheetId="3" r:id="R68d2584c133e4a72"/>
    <x:sheet name="Rankings" sheetId="4" r:id="Rb8b5cedf1f904a44"/>
  </x:sheets>
  <x:calcPr fullCalcOnLoad="1"/>
</x:workbook>
</file>

<file path=xl/styles.xml><?xml version="1.0" encoding="utf-8"?>
<x:styleSheet xmlns:x="http://schemas.openxmlformats.org/spreadsheetml/2006/main">
  <x:numFmts count="2">
    <x:numFmt numFmtId="164" formatCode="$#,##0"/>
    <x:numFmt numFmtId="165" formatCode="0.0%"/>
  </x:numFmts>
  <x:fonts count="6">
    <x:font>
      <x:sz val="11"/>
      <x:name val="Calibri"/>
    </x:font>
    <x:font>
      <x:b/>
      <x:sz val="11"/>
      <x:color rgb="FFFFFFFF"/>
      <x:name val="Calibri"/>
    </x:font>
    <x:font>
      <x:b/>
      <x:sz val="16"/>
      <x:color rgb="FF1B365D"/>
      <x:name val="Calibri"/>
    </x:font>
    <x:font>
      <x:b/>
      <x:sz val="9"/>
      <x:color rgb="FF666666"/>
      <x:name val="Calibri"/>
    </x:font>
    <x:font>
      <x:b/>
      <x:sz val="24"/>
      <x:color rgb="FF2E7D32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/>
    <x:xf numFmtId="0" fontId="1" fillId="2" borderId="0" applyFont="1" applyFill="1"/>
    <x:xf numFmtId="164" fontId="0" fillId="0" borderId="0" applyNumberFormat="1"/>
    <x:xf numFmtId="165" fontId="0" fillId="0" borderId="0" applyNumberFormat="1"/>
    <x:xf numFmtId="0" fontId="2" fillId="0" borderId="0" applyFont="1"/>
    <x:xf numFmtId="0" fontId="3" fillId="0" borderId="0" applyFont="1"/>
    <x:xf numFmtId="164" fontId="4" fillId="0" borderId="0" applyNumberFormat="1" applyFont="1"/>
    <x:xf numFmtId="165" fontId="4" fillId="0" borderId="0" applyNumberFormat="1" applyFont="1"/>
    <x:xf numFmtId="0" fontId="5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68e39a9dd4d84c7c" /><Relationship Type="http://schemas.openxmlformats.org/officeDocument/2006/relationships/styles" Target="/xl/styles.xml" Id="Rcc4297b4163c45c6" /><Relationship Type="http://schemas.openxmlformats.org/officeDocument/2006/relationships/worksheet" Target="/xl/worksheets/sheet2.xml" Id="R5cfbe0effbaf4ff6" /><Relationship Type="http://schemas.openxmlformats.org/officeDocument/2006/relationships/worksheet" Target="/xl/worksheets/sheet3.xml" Id="R68d2584c133e4a72" /><Relationship Type="http://schemas.openxmlformats.org/officeDocument/2006/relationships/worksheet" Target="/xl/worksheets/sheet4.xml" Id="Rb8b5cedf1f904a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42fbb7748b4b3b" /><Relationship Type="http://schemas.openxmlformats.org/officeDocument/2006/relationships/chart" Target="/xl/drawings/charts/chart2.xml" Id="Rfe83e23f1b9644db" /></Relationships>
</file>

<file path=xl/drawings/charts/chart1.xml><?xml version="1.0" encoding="utf-8"?>
<c:chartSpace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by Month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</c:spPr>
          <c:invertIfNegative val="0"/>
          <c:cat>
            <c:strRef>
              <c:f>Summary!$A$2:$A$3</c:f>
              <c:strCache>
                <c:ptCount val="2"/>
                <c:pt idx="0">
                  <c:v>Oct</c:v>
                </c:pt>
                <c:pt idx="1">
                  <c:v>Nov</c:v>
                </c:pt>
              </c:strCache>
            </c:strRef>
          </c:cat>
          <c:val>
            <c:numRef>
              <c:f>Summary!$B$2:$B$3</c:f>
              <c:numCache>
                <c:formatCode>General</c:formatCode>
                <c:ptCount val="2"/>
                <c:pt idx="0">
                  <c:v>2669000</c:v>
                </c:pt>
                <c:pt idx="1">
                  <c:v>2013000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date1904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Share by Product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Share</c:v>
          </c:tx>
          <c:cat>
            <c:strRef>
              <c:f>Summary!$D$2:$D$4</c:f>
              <c:strCache>
                <c:ptCount val="3"/>
                <c:pt idx="0">
                  <c:v>Enterprise</c:v>
                </c:pt>
                <c:pt idx="1">
                  <c:v>SMB</c:v>
                </c:pt>
                <c:pt idx="2">
                  <c:v>Consumer</c:v>
                </c:pt>
              </c:strCache>
            </c:strRef>
          </c:cat>
          <c:val>
            <c:numRef>
              <c:f>Summary!$E$2:$E$4</c:f>
              <c:numCache>
                <c:formatCode>General</c:formatCode>
                <c:ptCount val="3"/>
                <c:pt idx="0">
                  <c:v>2618000</c:v>
                </c:pt>
                <c:pt idx="1">
                  <c:v>1284000</c:v>
                </c:pt>
                <c:pt idx="2">
                  <c:v>780000</c:v>
                </c:pt>
              </c:numCache>
            </c:numRef>
          </c:val>
        </c:ser>
        <c:holeSize val="50"/>
      </c:doughnutChart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9</xdr:row>
      <xdr:rowOff>0</xdr:rowOff>
    </xdr:from>
    <xdr:to>
      <xdr:col>11</xdr:col>
      <xdr:colOff>0</xdr:colOff>
      <xdr:row>22</xdr:row>
      <xdr:rowOff>0</xdr:rowOff>
    </xdr:to>
    <xdr:graphicFrame>
      <xdr:nvGraphicFramePr>
        <xdr:cNvPr id="2" name="Revenue by Month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42fbb7748b4b3b"/>
        </a:graphicData>
      </a:graphic>
    </xdr:graphicFrame>
    <xdr:clientData/>
  </xdr:twoCellAnchor>
  <xdr:twoCellAnchor>
    <xdr:from>
      <xdr:col>12</xdr:col>
      <xdr:colOff>0</xdr:colOff>
      <xdr:row>9</xdr:row>
      <xdr:rowOff>0</xdr:rowOff>
    </xdr:from>
    <xdr:to>
      <xdr:col>22</xdr:col>
      <xdr:colOff>0</xdr:colOff>
      <xdr:row>22</xdr:row>
      <xdr:rowOff>0</xdr:rowOff>
    </xdr:to>
    <xdr:graphicFrame>
      <xdr:nvGraphicFramePr>
        <xdr:cNvPr id="3" name="Revenue Share by Produc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83e23f1b9644d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68cc19402c54170" /></Relationships>
</file>

<file path=xl/worksheets/sheet1.xml><?xml version="1.0" encoding="utf-8"?>
<x:worksheet xmlns:xm="http://schemas.microsoft.com/office/excel/2006/main" xmlns:x="http://schemas.openxmlformats.org/spreadsheetml/2006/main" xmlns:mc="http://schemas.openxmlformats.org/markup-compatibility/2006" xmlns:x14="http://schemas.microsoft.com/office/spreadsheetml/2009/9/main" mc:Ignorable="x14">
  <x:sheetPr>
    <x:tabColor rgb="FF4472C4"/>
  </x:sheetPr>
  <x:sheetViews>
    <x:sheetView workbookViewId="0">
      <x:pane ySplit="1" topLeftCell="A2" activePane="bottomLeft" state="frozen"/>
    </x:sheetView>
  </x:sheetViews>
  <x:cols>
    <x:col min="1" max="1" width="18" customWidth="1"/>
    <x:col min="2" max="2" width="14" customWidth="1"/>
    <x:col min="3" max="3" width="10" customWidth="1"/>
    <x:col min="4" max="4" width="14" customWidth="1"/>
    <x:col min="5" max="5" width="14" customWidth="1"/>
    <x:col min="6" max="6" width="14" customWidth="1"/>
    <x:col min="7" max="7" width="14" customWidth="1"/>
    <x:col min="8" max="8" width="16" customWidth="1"/>
  </x:cols>
  <x:sheetData>
    <x:row r="1">
      <x:c r="A1" s="1" t="str">
        <x:v>Region</x:v>
      </x:c>
      <x:c r="B1" s="1" t="str">
        <x:v>Product</x:v>
      </x:c>
      <x:c r="C1" s="1" t="str">
        <x:v>Month</x:v>
      </x:c>
      <x:c r="D1" s="1" t="str">
        <x:v>Revenue</x:v>
      </x:c>
      <x:c r="E1" s="1" t="str">
        <x:v>Cost</x:v>
      </x:c>
      <x:c r="F1" s="1" t="str">
        <x:v>Profit</x:v>
      </x:c>
      <x:c r="G1" s="1" t="str">
        <x:v>Target</x:v>
      </x:c>
      <x:c r="H1" s="1" t="str">
        <x:v>Achievement%</x:v>
      </x:c>
    </x:row>
    <x:row r="2">
      <x:c r="A2" t="str">
        <x:v>North America</x:v>
      </x:c>
      <x:c r="B2" t="str">
        <x:v>Enterprise</x:v>
      </x:c>
      <x:c r="C2" t="str">
        <x:v>Oct</x:v>
      </x:c>
      <x:c r="D2" s="2">
        <x:v>485000</x:v>
      </x:c>
      <x:c r="E2" s="2">
        <x:v>291000</x:v>
      </x:c>
      <x:c r="F2" s="2">
        <x:v>194000</x:v>
      </x:c>
      <x:c r="G2" s="2">
        <x:v>450000</x:v>
      </x:c>
      <x:c r="H2" s="3">
        <x:v>1.078</x:v>
      </x:c>
    </x:row>
    <x:row r="3">
      <x:c r="A3" t="str">
        <x:v>North America</x:v>
      </x:c>
      <x:c r="B3" t="str">
        <x:v>SMB</x:v>
      </x:c>
      <x:c r="C3" t="str">
        <x:v>Oct</x:v>
      </x:c>
      <x:c r="D3" s="2">
        <x:v>320000</x:v>
      </x:c>
      <x:c r="E3" s="2">
        <x:v>198000</x:v>
      </x:c>
      <x:c r="F3" s="2">
        <x:v>122000</x:v>
      </x:c>
      <x:c r="G3" s="2">
        <x:v>300000</x:v>
      </x:c>
      <x:c r="H3" s="3">
        <x:v>1.067</x:v>
      </x:c>
    </x:row>
    <x:row r="4">
      <x:c r="A4" t="str">
        <x:v>North America</x:v>
      </x:c>
      <x:c r="B4" t="str">
        <x:v>Consumer</x:v>
      </x:c>
      <x:c r="C4" t="str">
        <x:v>Oct</x:v>
      </x:c>
      <x:c r="D4" s="2">
        <x:v>210000</x:v>
      </x:c>
      <x:c r="E4" s="2">
        <x:v>142000</x:v>
      </x:c>
      <x:c r="F4" s="2">
        <x:v>68000</x:v>
      </x:c>
      <x:c r="G4" s="2">
        <x:v>200000</x:v>
      </x:c>
      <x:c r="H4" s="3">
        <x:v>1.05</x:v>
      </x:c>
    </x:row>
    <x:row r="5">
      <x:c r="A5" t="str">
        <x:v>North America</x:v>
      </x:c>
      <x:c r="B5" t="str">
        <x:v>Enterprise</x:v>
      </x:c>
      <x:c r="C5" t="str">
        <x:v>Nov</x:v>
      </x:c>
      <x:c r="D5" s="2">
        <x:v>510000</x:v>
      </x:c>
      <x:c r="E5" s="2">
        <x:v>306000</x:v>
      </x:c>
      <x:c r="F5" s="2">
        <x:v>204000</x:v>
      </x:c>
      <x:c r="G5" s="2">
        <x:v>470000</x:v>
      </x:c>
      <x:c r="H5" s="3">
        <x:v>1.085</x:v>
      </x:c>
    </x:row>
    <x:row r="6">
      <x:c r="A6" t="str">
        <x:v>North America</x:v>
      </x:c>
      <x:c r="B6" t="str">
        <x:v>SMB</x:v>
      </x:c>
      <x:c r="C6" t="str">
        <x:v>Nov</x:v>
      </x:c>
      <x:c r="D6" s="2">
        <x:v>340000</x:v>
      </x:c>
      <x:c r="E6" s="2">
        <x:v>204000</x:v>
      </x:c>
      <x:c r="F6" s="2">
        <x:v>136000</x:v>
      </x:c>
      <x:c r="G6" s="2">
        <x:v>310000</x:v>
      </x:c>
      <x:c r="H6" s="3">
        <x:v>1.097</x:v>
      </x:c>
    </x:row>
    <x:row r="7">
      <x:c r="A7" t="str">
        <x:v>Europe</x:v>
      </x:c>
      <x:c r="B7" t="str">
        <x:v>Consumer</x:v>
      </x:c>
      <x:c r="C7" t="str">
        <x:v>Nov</x:v>
      </x:c>
      <x:c r="D7" s="2">
        <x:v>155000</x:v>
      </x:c>
      <x:c r="E7" s="2">
        <x:v>105000</x:v>
      </x:c>
      <x:c r="F7" s="2">
        <x:v>50000</x:v>
      </x:c>
      <x:c r="G7" s="2">
        <x:v>160000</x:v>
      </x:c>
      <x:c r="H7" s="3">
        <x:v>0.969</x:v>
      </x:c>
    </x:row>
    <x:row r="8">
      <x:c r="A8" t="str">
        <x:v>Europe</x:v>
      </x:c>
      <x:c r="B8" t="str">
        <x:v>Enterprise</x:v>
      </x:c>
      <x:c r="C8" t="str">
        <x:v>Oct</x:v>
      </x:c>
      <x:c r="D8" s="2">
        <x:v>365000</x:v>
      </x:c>
      <x:c r="E8" s="2">
        <x:v>228000</x:v>
      </x:c>
      <x:c r="F8" s="2">
        <x:v>137000</x:v>
      </x:c>
      <x:c r="G8" s="2">
        <x:v>350000</x:v>
      </x:c>
      <x:c r="H8" s="3">
        <x:v>1.043</x:v>
      </x:c>
    </x:row>
    <x:row r="9">
      <x:c r="A9" t="str">
        <x:v>Europe</x:v>
      </x:c>
      <x:c r="B9" t="str">
        <x:v>SMB</x:v>
      </x:c>
      <x:c r="C9" t="str">
        <x:v>Oct</x:v>
      </x:c>
      <x:c r="D9" s="2">
        <x:v>242000</x:v>
      </x:c>
      <x:c r="E9" s="2">
        <x:v>157000</x:v>
      </x:c>
      <x:c r="F9" s="2">
        <x:v>85000</x:v>
      </x:c>
      <x:c r="G9" s="2">
        <x:v>250000</x:v>
      </x:c>
      <x:c r="H9" s="3">
        <x:v>0.968</x:v>
      </x:c>
    </x:row>
    <x:row r="10">
      <x:c r="A10" t="str">
        <x:v>Europe</x:v>
      </x:c>
      <x:c r="B10" t="str">
        <x:v>Consumer</x:v>
      </x:c>
      <x:c r="C10" t="str">
        <x:v>Oct</x:v>
      </x:c>
      <x:c r="D10" s="2">
        <x:v>165000</x:v>
      </x:c>
      <x:c r="E10" s="2">
        <x:v>112000</x:v>
      </x:c>
      <x:c r="F10" s="2">
        <x:v>53000</x:v>
      </x:c>
      <x:c r="G10" s="2">
        <x:v>170000</x:v>
      </x:c>
      <x:c r="H10" s="3">
        <x:v>0.971</x:v>
      </x:c>
    </x:row>
    <x:row r="11">
      <x:c r="A11" t="str">
        <x:v>Europe</x:v>
      </x:c>
      <x:c r="B11" t="str">
        <x:v>Enterprise</x:v>
      </x:c>
      <x:c r="C11" t="str">
        <x:v>Nov</x:v>
      </x:c>
      <x:c r="D11" s="2">
        <x:v>385000</x:v>
      </x:c>
      <x:c r="E11" s="2">
        <x:v>238000</x:v>
      </x:c>
      <x:c r="F11" s="2">
        <x:v>147000</x:v>
      </x:c>
      <x:c r="G11" s="2">
        <x:v>360000</x:v>
      </x:c>
      <x:c r="H11" s="3">
        <x:v>1.069</x:v>
      </x:c>
    </x:row>
    <x:row r="12">
      <x:c r="A12" t="str">
        <x:v>APAC</x:v>
      </x:c>
      <x:c r="B12" t="str">
        <x:v>Enterprise</x:v>
      </x:c>
      <x:c r="C12" t="str">
        <x:v>Oct</x:v>
      </x:c>
      <x:c r="D12" s="2">
        <x:v>275000</x:v>
      </x:c>
      <x:c r="E12" s="2">
        <x:v>178000</x:v>
      </x:c>
      <x:c r="F12" s="2">
        <x:v>97000</x:v>
      </x:c>
      <x:c r="G12" s="2">
        <x:v>260000</x:v>
      </x:c>
      <x:c r="H12" s="3">
        <x:v>1.058</x:v>
      </x:c>
    </x:row>
    <x:row r="13">
      <x:c r="A13" t="str">
        <x:v>APAC</x:v>
      </x:c>
      <x:c r="B13" t="str">
        <x:v>SMB</x:v>
      </x:c>
      <x:c r="C13" t="str">
        <x:v>Oct</x:v>
      </x:c>
      <x:c r="D13" s="2">
        <x:v>185000</x:v>
      </x:c>
      <x:c r="E13" s="2">
        <x:v>125000</x:v>
      </x:c>
      <x:c r="F13" s="2">
        <x:v>60000</x:v>
      </x:c>
      <x:c r="G13" s="2">
        <x:v>190000</x:v>
      </x:c>
      <x:c r="H13" s="3">
        <x:v>0.974</x:v>
      </x:c>
    </x:row>
    <x:row r="14">
      <x:c r="A14" t="str">
        <x:v>APAC</x:v>
      </x:c>
      <x:c r="B14" t="str">
        <x:v>Consumer</x:v>
      </x:c>
      <x:c r="C14" t="str">
        <x:v>Oct</x:v>
      </x:c>
      <x:c r="D14" s="2">
        <x:v>120000</x:v>
      </x:c>
      <x:c r="E14" s="2">
        <x:v>84000</x:v>
      </x:c>
      <x:c r="F14" s="2">
        <x:v>36000</x:v>
      </x:c>
      <x:c r="G14" s="2">
        <x:v>130000</x:v>
      </x:c>
      <x:c r="H14" s="3">
        <x:v>0.923</x:v>
      </x:c>
    </x:row>
    <x:row r="15">
      <x:c r="A15" t="str">
        <x:v>APAC</x:v>
      </x:c>
      <x:c r="B15" t="str">
        <x:v>Enterprise</x:v>
      </x:c>
      <x:c r="C15" t="str">
        <x:v>Nov</x:v>
      </x:c>
      <x:c r="D15" s="2">
        <x:v>295000</x:v>
      </x:c>
      <x:c r="E15" s="2">
        <x:v>189000</x:v>
      </x:c>
      <x:c r="F15" s="2">
        <x:v>106000</x:v>
      </x:c>
      <x:c r="G15" s="2">
        <x:v>280000</x:v>
      </x:c>
      <x:c r="H15" s="3">
        <x:v>1.054</x:v>
      </x:c>
    </x:row>
    <x:row r="16">
      <x:c r="A16" t="str">
        <x:v>LatAm</x:v>
      </x:c>
      <x:c r="B16" t="str">
        <x:v>Enterprise</x:v>
      </x:c>
      <x:c r="C16" t="str">
        <x:v>Oct</x:v>
      </x:c>
      <x:c r="D16" s="2">
        <x:v>145000</x:v>
      </x:c>
      <x:c r="E16" s="2">
        <x:v>98000</x:v>
      </x:c>
      <x:c r="F16" s="2">
        <x:v>47000</x:v>
      </x:c>
      <x:c r="G16" s="2">
        <x:v>150000</x:v>
      </x:c>
      <x:c r="H16" s="3">
        <x:v>0.967</x:v>
      </x:c>
    </x:row>
    <x:row r="17">
      <x:c r="A17" t="str">
        <x:v>LatAm</x:v>
      </x:c>
      <x:c r="B17" t="str">
        <x:v>SMB</x:v>
      </x:c>
      <x:c r="C17" t="str">
        <x:v>Oct</x:v>
      </x:c>
      <x:c r="D17" s="2">
        <x:v>95000</x:v>
      </x:c>
      <x:c r="E17" s="2">
        <x:v>68000</x:v>
      </x:c>
      <x:c r="F17" s="2">
        <x:v>27000</x:v>
      </x:c>
      <x:c r="G17" s="2">
        <x:v>100000</x:v>
      </x:c>
      <x:c r="H17" s="3">
        <x:v>0.95</x:v>
      </x:c>
    </x:row>
    <x:row r="18">
      <x:c r="A18" t="str">
        <x:v>LatAm</x:v>
      </x:c>
      <x:c r="B18" t="str">
        <x:v>Consumer</x:v>
      </x:c>
      <x:c r="C18" t="str">
        <x:v>Oct</x:v>
      </x:c>
      <x:c r="D18" s="2">
        <x:v>62000</x:v>
      </x:c>
      <x:c r="E18" s="2">
        <x:v>45000</x:v>
      </x:c>
      <x:c r="F18" s="2">
        <x:v>17000</x:v>
      </x:c>
      <x:c r="G18" s="2">
        <x:v>70000</x:v>
      </x:c>
      <x:c r="H18" s="3">
        <x:v>0.886</x:v>
      </x:c>
    </x:row>
    <x:row r="19">
      <x:c r="A19" t="str">
        <x:v>LatAm</x:v>
      </x:c>
      <x:c r="B19" t="str">
        <x:v>Enterprise</x:v>
      </x:c>
      <x:c r="C19" t="str">
        <x:v>Nov</x:v>
      </x:c>
      <x:c r="D19" s="2">
        <x:v>158000</x:v>
      </x:c>
      <x:c r="E19" s="2">
        <x:v>105000</x:v>
      </x:c>
      <x:c r="F19" s="2">
        <x:v>53000</x:v>
      </x:c>
      <x:c r="G19" s="2">
        <x:v>155000</x:v>
      </x:c>
      <x:c r="H19" s="3">
        <x:v>1.019</x:v>
      </x:c>
    </x:row>
    <x:row r="20">
      <x:c r="A20" t="str">
        <x:v>LatAm</x:v>
      </x:c>
      <x:c r="B20" t="str">
        <x:v>SMB</x:v>
      </x:c>
      <x:c r="C20" t="str">
        <x:v>Nov</x:v>
      </x:c>
      <x:c r="D20" s="2">
        <x:v>102000</x:v>
      </x:c>
      <x:c r="E20" s="2">
        <x:v>72000</x:v>
      </x:c>
      <x:c r="F20" s="2">
        <x:v>30000</x:v>
      </x:c>
      <x:c r="G20" s="2">
        <x:v>105000</x:v>
      </x:c>
      <x:c r="H20" s="3">
        <x:v>0.971</x:v>
      </x:c>
    </x:row>
    <x:row r="21">
      <x:c r="A21" t="str">
        <x:v>LatAm</x:v>
      </x:c>
      <x:c r="B21" t="str">
        <x:v>Consumer</x:v>
      </x:c>
      <x:c r="C21" t="str">
        <x:v>Nov</x:v>
      </x:c>
      <x:c r="D21" s="2">
        <x:v>68000</x:v>
      </x:c>
      <x:c r="E21" s="2">
        <x:v>49000</x:v>
      </x:c>
      <x:c r="F21" s="2">
        <x:v>19000</x:v>
      </x:c>
      <x:c r="G21" s="2">
        <x:v>75000</x:v>
      </x:c>
      <x:c r="H21" s="3">
        <x:v>0.907</x:v>
      </x:c>
    </x:row>
  </x:sheetData>
  <x:autoFilter ref="A1:H21"/>
  <x:conditionalFormatting sqref="F2:F21">
    <x:cfRule type="dataBar" priority="1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{1EED7D1A-3D3F-47AB-809C-512F1380A1A2}</x14:id>
        </x:ext>
      </x:extLst>
    </x:cfRule>
  </x:conditionalFormatting>
  <x:conditionalFormatting sqref="H2:H21">
    <x:cfRule type="colorScale" priority="2">
      <x:colorScale>
        <x:cfvo type="min"/>
        <x:cfvo type="percentile" val="50"/>
        <x:cfvo type="max"/>
        <x:color rgb="FFF8696B"/>
        <x:color rgb="FFFFEB9C"/>
        <x:color rgb="FF63BE7B"/>
      </x:colorScale>
    </x:cfRule>
  </x:conditionalFormatting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ED7D1A-3D3F-47AB-809C-512F1380A1A2}">
            <x14:dataBar minLength="0" maxLength="100" axisPosition="automatic">
              <x14:cfvo type="autoMin"/>
              <x14:cfvo type="autoMax"/>
              <x14:fillColor rgb="FF4472C4"/>
              <x14:negativeFillColor rgb="FFFF0000"/>
              <x14:axisColor rgb="FF000000"/>
            </x14:dataBar>
          </x14:cfRule>
          <xm:sqref>F2:F21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Pr>
    <x:tabColor rgb="FF1B365D"/>
  </x:sheetPr>
  <x:cols>
    <x:col min="1" max="1" width="13" customWidth="1"/>
    <x:col min="2" max="2" width="13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</x:cols>
  <x:sheetData>
    <x:row r="1">
      <x:c r="A1" s="4" t="str">
        <x:v>Q4 2025 Global Sales Dashboard</x:v>
      </x:c>
    </x:row>
    <x:row r="3">
      <x:c r="A3" s="5" t="str">
        <x:v>Total Revenue</x:v>
      </x:c>
      <x:c r="C3" s="5" t="str">
        <x:v>Total Profit</x:v>
      </x:c>
      <x:c r="E3" s="5" t="str">
        <x:v>Avg Deal Size</x:v>
      </x:c>
      <x:c r="G3" s="5" t="str">
        <x:v>Avg Achievement</x:v>
      </x:c>
    </x:row>
    <x:row r="4">
      <x:c r="A4" s="6">
        <x:f>SUM(Data!D2:D21)</x:f>
        <x:v>4682000</x:v>
      </x:c>
      <x:c r="C4" s="6">
        <x:f>SUM(Data!F2:F21)</x:f>
        <x:v>1688000</x:v>
      </x:c>
      <x:c r="E4" s="6">
        <x:f>ROUND(AVERAGE(Data!D2:D21),0)</x:f>
        <x:v>234100</x:v>
      </x:c>
      <x:c r="G4" s="7">
        <x:f>AVERAGE(Data!H2:H21)</x:f>
        <x:v>1.0053</x:v>
      </x:c>
    </x:row>
  </x:sheetData>
  <x:mergeCells count="9">
    <x:mergeCell ref="A1:J1"/>
    <x:mergeCell ref="A3:B3"/>
    <x:mergeCell ref="A4:B5"/>
    <x:mergeCell ref="C3:D3"/>
    <x:mergeCell ref="C4:D5"/>
    <x:mergeCell ref="E3:F3"/>
    <x:mergeCell ref="E4:F5"/>
    <x:mergeCell ref="G3:H3"/>
    <x:mergeCell ref="G4:H5"/>
  </x:mergeCells>
  <x:drawing xmlns:r="http://schemas.openxmlformats.org/officeDocument/2006/relationships" r:id="R568cc19402c54170"/>
</x:worksheet>
</file>

<file path=xl/worksheets/sheet3.xml><?xml version="1.0" encoding="utf-8"?>
<x:worksheet xmlns:x="http://schemas.openxmlformats.org/spreadsheetml/2006/main">
  <x:cols>
    <x:col min="1" max="1" width="10" customWidth="1"/>
    <x:col min="2" max="2" width="14" customWidth="1"/>
    <x:col min="4" max="4" width="12" customWidth="1"/>
    <x:col min="5" max="5" width="14" customWidth="1"/>
  </x:cols>
  <x:sheetData>
    <x:row r="1">
      <x:c r="A1" s="8" t="str">
        <x:v>Month</x:v>
      </x:c>
      <x:c r="B1" s="8" t="str">
        <x:v>Revenue</x:v>
      </x:c>
      <x:c r="D1" s="8" t="str">
        <x:v>Product</x:v>
      </x:c>
      <x:c r="E1" s="8" t="str">
        <x:v>Revenue</x:v>
      </x:c>
    </x:row>
    <x:row r="2">
      <x:c r="A2" t="str">
        <x:v>Oct</x:v>
      </x:c>
      <x:c r="B2" s="2">
        <x:f>SUMIF(Data!$C$2:$C$21,"Oct",Data!$D$2:$D$21)</x:f>
        <x:v>2669000</x:v>
      </x:c>
      <x:c r="D2" t="str">
        <x:v>Enterprise</x:v>
      </x:c>
      <x:c r="E2" s="2">
        <x:f>SUMIF(Data!$B$2:$B$21,"Enterprise",Data!$D$2:$D$21)</x:f>
        <x:v>2618000</x:v>
      </x:c>
    </x:row>
    <x:row r="3">
      <x:c r="A3" t="str">
        <x:v>Nov</x:v>
      </x:c>
      <x:c r="B3" s="2">
        <x:f>SUMIF(Data!$C$2:$C$21,"Nov",Data!$D$2:$D$21)</x:f>
        <x:v>2013000</x:v>
      </x:c>
      <x:c r="D3" t="str">
        <x:v>SMB</x:v>
      </x:c>
      <x:c r="E3" s="2">
        <x:f>SUMIF(Data!$B$2:$B$21,"SMB",Data!$D$2:$D$21)</x:f>
        <x:v>1284000</x:v>
      </x:c>
    </x:row>
    <x:row r="4">
      <x:c r="D4" t="str">
        <x:v>Consumer</x:v>
      </x:c>
      <x:c r="E4" s="2">
        <x:f>SUMIF(Data!$B$2:$B$21,"Consumer",Data!$D$2:$D$21)</x:f>
        <x:v>780000</x:v>
      </x:c>
    </x:row>
  </x:sheetData>
</x:worksheet>
</file>

<file path=xl/worksheets/sheet4.xml><?xml version="1.0" encoding="utf-8"?>
<x:worksheet xmlns:x="http://schemas.openxmlformats.org/spreadsheetml/2006/main">
  <x:sheetPr>
    <x:tabColor rgb="FF70AD47"/>
  </x:sheetPr>
  <x:sheetViews>
    <x:sheetView workbookViewId="0">
      <x:pane ySplit="1" topLeftCell="A2" activePane="bottomLeft" state="frozen"/>
    </x:sheetView>
  </x:sheetViews>
  <x:cols>
    <x:col min="1" max="1" width="20" customWidth="1"/>
    <x:col min="2" max="2" width="18" customWidth="1"/>
    <x:col min="3" max="3" width="14" customWidth="1"/>
    <x:col min="4" max="4" width="10" customWidth="1"/>
  </x:cols>
  <x:sheetData>
    <x:row r="1">
      <x:c r="A1" s="1" t="str">
        <x:v>Rep Name</x:v>
      </x:c>
      <x:c r="B1" s="1" t="str">
        <x:v>Region</x:v>
      </x:c>
      <x:c r="C1" s="1" t="str">
        <x:v>Revenue</x:v>
      </x:c>
      <x:c r="D1" s="1" t="str">
        <x:v>Rank</x:v>
      </x:c>
    </x:row>
    <x:row r="2">
      <x:c r="A2" t="str">
        <x:v>Sarah Johnson</x:v>
      </x:c>
      <x:c r="B2" t="str">
        <x:v>North America</x:v>
      </x:c>
      <x:c r="C2" s="2">
        <x:v>1850000</x:v>
      </x:c>
      <x:c r="D2">
        <x:v>1</x:v>
      </x:c>
    </x:row>
    <x:row r="3">
      <x:c r="A3" t="str">
        <x:v>Michael Chen</x:v>
      </x:c>
      <x:c r="B3" t="str">
        <x:v>APAC</x:v>
      </x:c>
      <x:c r="C3" s="2">
        <x:v>1620000</x:v>
      </x:c>
      <x:c r="D3">
        <x:v>2</x:v>
      </x:c>
    </x:row>
    <x:row r="4">
      <x:c r="A4" t="str">
        <x:v>Emma Williams</x:v>
      </x:c>
      <x:c r="B4" t="str">
        <x:v>Europe</x:v>
      </x:c>
      <x:c r="C4" s="2">
        <x:v>1540000</x:v>
      </x:c>
      <x:c r="D4">
        <x:v>3</x:v>
      </x:c>
    </x:row>
    <x:row r="5">
      <x:c r="A5" t="str">
        <x:v>David Martinez</x:v>
      </x:c>
      <x:c r="B5" t="str">
        <x:v>LatAm</x:v>
      </x:c>
      <x:c r="C5" s="2">
        <x:v>1380000</x:v>
      </x:c>
      <x:c r="D5">
        <x:v>4</x:v>
      </x:c>
    </x:row>
    <x:row r="6">
      <x:c r="A6" t="str">
        <x:v>Lisa Thompson</x:v>
      </x:c>
      <x:c r="B6" t="str">
        <x:v>North America</x:v>
      </x:c>
      <x:c r="C6" s="2">
        <x:v>1250000</x:v>
      </x:c>
      <x:c r="D6">
        <x:v>5</x:v>
      </x:c>
    </x:row>
    <x:row r="7">
      <x:c r="A7" t="str">
        <x:v>James Park</x:v>
      </x:c>
      <x:c r="B7" t="str">
        <x:v>APAC</x:v>
      </x:c>
      <x:c r="C7" s="2">
        <x:v>1120000</x:v>
      </x:c>
      <x:c r="D7">
        <x:v>6</x:v>
      </x:c>
    </x:row>
    <x:row r="8">
      <x:c r="A8" t="str">
        <x:v>Anna Mueller</x:v>
      </x:c>
      <x:c r="B8" t="str">
        <x:v>Europe</x:v>
      </x:c>
      <x:c r="C8" s="2">
        <x:v>980000</x:v>
      </x:c>
      <x:c r="D8">
        <x:v>7</x:v>
      </x:c>
    </x:row>
    <x:row r="9">
      <x:c r="A9" t="str">
        <x:v>Carlos Silva</x:v>
      </x:c>
      <x:c r="B9" t="str">
        <x:v>LatAm</x:v>
      </x:c>
      <x:c r="C9" s="2">
        <x:v>870000</x:v>
      </x:c>
      <x:c r="D9">
        <x:v>8</x:v>
      </x:c>
    </x:row>
    <x:row r="10">
      <x:c r="A10" t="str">
        <x:v>Yuki Tanaka</x:v>
      </x:c>
      <x:c r="B10" t="str">
        <x:v>APAC</x:v>
      </x:c>
      <x:c r="C10" s="2">
        <x:v>760000</x:v>
      </x:c>
      <x:c r="D10">
        <x:v>9</x:v>
      </x:c>
    </x:row>
    <x:row r="11">
      <x:c r="A11" t="str">
        <x:v>Pierre Dubois</x:v>
      </x:c>
      <x:c r="B11" t="str">
        <x:v>Europe</x:v>
      </x:c>
      <x:c r="C11" s="2">
        <x:v>650000</x:v>
      </x:c>
      <x:c r="D11">
        <x:v>10</x:v>
      </x:c>
    </x:row>
  </x:sheetData>
  <x:autoFilter ref="A1:D11"/>
</x:worksheet>
</file>

<file path=docProps/app.xml><?xml version="1.0" encoding="utf-8"?>
<ap:Properties xmlns:ap="http://schemas.openxmlformats.org/officeDocument/2006/extended-properties">
  <ap:Application>OfficeCLI/1.26.08.14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2026-08-14T03:25:51Z</dcterms:created>
  <cp:lastModifiedBy>OfficeCLI</cp:lastModifiedBy>
  <dcterms:modified xsi:type="dcterms:W3CDTF">2026-08-14T03:25:51Z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1.26.08.14</vt:lpwstr>
  </op:property>
  <op:property fmtid="{D5CDD505-2E9C-101B-9397-08002B2CF9AE}" pid="3" name="OfficeCLI.LastModified">
    <vt:lpwstr xmlns:vt="http://schemas.openxmlformats.org/officeDocument/2006/docPropsVTypes">2026-08-14T03:25:52Z</vt:lpwstr>
  </op:property>
</op:Properties>
</file>